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rag-lib\docs\"/>
    </mc:Choice>
  </mc:AlternateContent>
  <xr:revisionPtr revIDLastSave="0" documentId="13_ncr:1_{DA43E63E-F535-4F21-8F82-23D1D1EADC96}" xr6:coauthVersionLast="47" xr6:coauthVersionMax="47" xr10:uidLastSave="{00000000-0000-0000-0000-000000000000}"/>
  <bookViews>
    <workbookView xWindow="1140" yWindow="2990" windowWidth="27110" windowHeight="17180" activeTab="2" xr2:uid="{00000000-000D-0000-FFFF-FFFF00000000}"/>
  </bookViews>
  <sheets>
    <sheet name="Table and text" sheetId="1" r:id="rId1"/>
    <sheet name="Table surrounded with text" sheetId="2" r:id="rId2"/>
    <sheet name="Multitable and tex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G3" i="4" s="1"/>
  <c r="I4" i="4"/>
  <c r="G4" i="4" s="1"/>
  <c r="I5" i="4"/>
  <c r="G5" i="4" s="1"/>
  <c r="I6" i="4"/>
  <c r="G6" i="4" s="1"/>
  <c r="G7" i="4"/>
  <c r="H7" i="4"/>
  <c r="I7" i="4"/>
  <c r="B8" i="4"/>
  <c r="C8" i="4"/>
  <c r="A1" i="4" s="1"/>
  <c r="D8" i="4"/>
  <c r="I8" i="4" s="1"/>
  <c r="E8" i="4"/>
  <c r="F16" i="4"/>
  <c r="K16" i="4" s="1"/>
  <c r="L16" i="4" s="1"/>
  <c r="G16" i="4"/>
  <c r="H16" i="4"/>
  <c r="I16" i="4"/>
  <c r="J16" i="4"/>
  <c r="J23" i="4" s="1"/>
  <c r="H17" i="4"/>
  <c r="K17" i="4" s="1"/>
  <c r="I17" i="4"/>
  <c r="J17" i="4"/>
  <c r="H18" i="4"/>
  <c r="H23" i="4" s="1"/>
  <c r="I18" i="4"/>
  <c r="J18" i="4"/>
  <c r="K19" i="4"/>
  <c r="K20" i="4"/>
  <c r="K21" i="4"/>
  <c r="K22" i="4"/>
  <c r="G23" i="4"/>
  <c r="I23" i="4"/>
  <c r="D43" i="4"/>
  <c r="C43" i="4" s="1"/>
  <c r="D44" i="4"/>
  <c r="D45" i="4"/>
  <c r="C45" i="4" s="1"/>
  <c r="D46" i="4"/>
  <c r="C46" i="4" s="1"/>
  <c r="B47" i="4"/>
  <c r="D47" i="4"/>
  <c r="C55" i="4"/>
  <c r="L21" i="4" l="1"/>
  <c r="C44" i="4"/>
  <c r="C47" i="4" s="1"/>
  <c r="B55" i="4" s="1"/>
  <c r="F7" i="4"/>
  <c r="L20" i="4"/>
  <c r="L22" i="4"/>
  <c r="L19" i="4"/>
  <c r="F6" i="4"/>
  <c r="F5" i="4"/>
  <c r="F4" i="4"/>
  <c r="F8" i="4"/>
  <c r="B54" i="4" s="1"/>
  <c r="M8" i="4"/>
  <c r="L8" i="4" s="1"/>
  <c r="L17" i="4"/>
  <c r="F3" i="4"/>
  <c r="G8" i="4"/>
  <c r="C54" i="4" s="1"/>
  <c r="C56" i="4" s="1"/>
  <c r="H6" i="4"/>
  <c r="K18" i="4"/>
  <c r="L18" i="4" s="1"/>
  <c r="H5" i="4"/>
  <c r="F23" i="4"/>
  <c r="K23" i="4" s="1"/>
  <c r="L23" i="4" s="1"/>
  <c r="H4" i="4"/>
  <c r="H3" i="4"/>
  <c r="B56" i="4" l="1"/>
  <c r="H8" i="4"/>
</calcChain>
</file>

<file path=xl/sharedStrings.xml><?xml version="1.0" encoding="utf-8"?>
<sst xmlns="http://schemas.openxmlformats.org/spreadsheetml/2006/main" count="222" uniqueCount="87">
  <si>
    <t>Дата распознавания</t>
  </si>
  <si>
    <t>Файл</t>
  </si>
  <si>
    <t>Страница</t>
  </si>
  <si>
    <t>Изображение</t>
  </si>
  <si>
    <t>Дата заполнения</t>
  </si>
  <si>
    <t>19.11.2024</t>
  </si>
  <si>
    <t>example.pdf</t>
  </si>
  <si>
    <t>19.07.2024</t>
  </si>
  <si>
    <t>20.11.2024</t>
  </si>
  <si>
    <t>Эта таблица содержит текст и таблицу</t>
  </si>
  <si>
    <t>Дата чтения</t>
  </si>
  <si>
    <t>Номер</t>
  </si>
  <si>
    <t>Картинка</t>
  </si>
  <si>
    <t>Выполнено</t>
  </si>
  <si>
    <t>Текст до таблицы</t>
  </si>
  <si>
    <t>Второй Текст до таблицы</t>
  </si>
  <si>
    <t>Текст после таблицы</t>
  </si>
  <si>
    <t>Второй текст после таблицы</t>
  </si>
  <si>
    <t>Название</t>
  </si>
  <si>
    <t>ПОЛНЫЙ ПАКЕТ (все услуги)</t>
  </si>
  <si>
    <t>ОПЦИЯ: Пентест (независимо)</t>
  </si>
  <si>
    <t>ОСНОВНОЙ ПАКЕТ (стратегия)</t>
  </si>
  <si>
    <t>USD</t>
  </si>
  <si>
    <t>Рубли</t>
  </si>
  <si>
    <t>Пакет услуг</t>
  </si>
  <si>
    <t>ИТОГО трудозатраты</t>
  </si>
  <si>
    <t>Отчет и рекомендации</t>
  </si>
  <si>
    <t>Проведение тестирования по внешнему периметру</t>
  </si>
  <si>
    <t>Проведение тестирования по внутреннему периметру</t>
  </si>
  <si>
    <t>Подготовка и координация</t>
  </si>
  <si>
    <t>Стоимость (USD)</t>
  </si>
  <si>
    <t>Стоимость (руб.)</t>
  </si>
  <si>
    <t>Часы</t>
  </si>
  <si>
    <t>Вид работ</t>
  </si>
  <si>
    <r>
      <t>1.1.</t>
    </r>
    <r>
      <rPr>
        <b/>
        <sz val="7"/>
        <color rgb="FF2D75B6"/>
        <rFont val="Times New Roman"/>
        <family val="1"/>
      </rPr>
      <t xml:space="preserve">  </t>
    </r>
    <r>
      <rPr>
        <b/>
        <sz val="14"/>
        <color rgb="FF2D75B6"/>
        <rFont val="Arial"/>
        <family val="2"/>
      </rPr>
      <t>Стоимость пентеста</t>
    </r>
  </si>
  <si>
    <t>Командировка</t>
  </si>
  <si>
    <t>Защита результатов</t>
  </si>
  <si>
    <t>Э4</t>
  </si>
  <si>
    <t>Удаленно</t>
  </si>
  <si>
    <t>Разработка стратегии</t>
  </si>
  <si>
    <t>Э3</t>
  </si>
  <si>
    <t>Диагностика и GAP-анализ</t>
  </si>
  <si>
    <t>Э2</t>
  </si>
  <si>
    <t>On-site аудит и сбор As-Is</t>
  </si>
  <si>
    <t>Э1</t>
  </si>
  <si>
    <t>Инициация проекта</t>
  </si>
  <si>
    <t>Э0</t>
  </si>
  <si>
    <t>Режим работы</t>
  </si>
  <si>
    <t>Длительность</t>
  </si>
  <si>
    <t>Этап</t>
  </si>
  <si>
    <t>ROM-бюджеты, CAPEX/OPEX</t>
  </si>
  <si>
    <t>Senior</t>
  </si>
  <si>
    <t>Financial Analyst</t>
  </si>
  <si>
    <t>Анализ практик ИБ</t>
  </si>
  <si>
    <t>Middle+</t>
  </si>
  <si>
    <t>Security Analyst</t>
  </si>
  <si>
    <t>Документооборот, матрицы</t>
  </si>
  <si>
    <t>Business Analyst</t>
  </si>
  <si>
    <t>Целевая архитектура, интеграции</t>
  </si>
  <si>
    <t>Enterprise Architect</t>
  </si>
  <si>
    <t>Диагностика ИТ, стратегия развития</t>
  </si>
  <si>
    <t>ИТ Strategy Lead</t>
  </si>
  <si>
    <t>Диагностика ИБ, анализ рисков</t>
  </si>
  <si>
    <t>ИБ Lead</t>
  </si>
  <si>
    <t>Управление проектом, архитектура решения</t>
  </si>
  <si>
    <t>Lead Consultant / PM</t>
  </si>
  <si>
    <t>RUR</t>
  </si>
  <si>
    <t>$$</t>
  </si>
  <si>
    <t>Ответственность</t>
  </si>
  <si>
    <t>Загрузка</t>
  </si>
  <si>
    <t>Уровень</t>
  </si>
  <si>
    <t>Роль</t>
  </si>
  <si>
    <t>Защита</t>
  </si>
  <si>
    <t>Стратегия</t>
  </si>
  <si>
    <t>Диагностика</t>
  </si>
  <si>
    <t>On-site аудит и As-Is</t>
  </si>
  <si>
    <t>Инициация</t>
  </si>
  <si>
    <t>Col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</si>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</sst>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7"/>
      <color theme="1"/>
      <name val="Arial"/>
      <family val="2"/>
    </font>
    <font>
      <b/>
      <sz val="14"/>
      <color rgb="FF2D75B6"/>
      <name val="Arial"/>
      <family val="2"/>
    </font>
    <font>
      <b/>
      <sz val="7"/>
      <color rgb="FF2D75B6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D4E8EF"/>
        <bgColor indexed="64"/>
      </patternFill>
    </fill>
    <fill>
      <patternFill patternType="solid">
        <fgColor rgb="FFEFF8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D5E7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3" fontId="3" fillId="2" borderId="2" xfId="1" applyNumberFormat="1" applyFont="1" applyFill="1" applyBorder="1" applyAlignment="1">
      <alignment vertical="center" wrapText="1"/>
    </xf>
    <xf numFmtId="0" fontId="3" fillId="2" borderId="3" xfId="1" applyFont="1" applyFill="1" applyBorder="1" applyAlignment="1">
      <alignment vertical="center" wrapText="1"/>
    </xf>
    <xf numFmtId="3" fontId="4" fillId="0" borderId="2" xfId="1" applyNumberFormat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3" fillId="3" borderId="4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3" fontId="3" fillId="4" borderId="2" xfId="1" applyNumberFormat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 indent="4"/>
    </xf>
    <xf numFmtId="0" fontId="4" fillId="0" borderId="2" xfId="1" applyFont="1" applyBorder="1" applyAlignment="1">
      <alignment horizontal="left" vertical="center" wrapText="1" indent="1"/>
    </xf>
    <xf numFmtId="1" fontId="4" fillId="0" borderId="2" xfId="1" applyNumberFormat="1" applyFont="1" applyBorder="1" applyAlignment="1">
      <alignment horizontal="left" vertical="center" wrapText="1" indent="1"/>
    </xf>
    <xf numFmtId="0" fontId="3" fillId="3" borderId="4" xfId="1" applyFont="1" applyFill="1" applyBorder="1" applyAlignment="1">
      <alignment horizontal="left" vertical="center" wrapText="1" indent="1"/>
    </xf>
    <xf numFmtId="2" fontId="1" fillId="0" borderId="0" xfId="1" applyNumberFormat="1"/>
    <xf numFmtId="3" fontId="3" fillId="5" borderId="2" xfId="1" applyNumberFormat="1" applyFont="1" applyFill="1" applyBorder="1" applyAlignment="1">
      <alignment vertical="center" wrapText="1"/>
    </xf>
    <xf numFmtId="0" fontId="8" fillId="0" borderId="0" xfId="1" applyFont="1"/>
    <xf numFmtId="9" fontId="4" fillId="0" borderId="2" xfId="1" applyNumberFormat="1" applyFont="1" applyBorder="1" applyAlignment="1">
      <alignment vertical="center" wrapText="1"/>
    </xf>
    <xf numFmtId="0" fontId="3" fillId="6" borderId="4" xfId="1" applyFont="1" applyFill="1" applyBorder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3" xfId="1" applyFont="1" applyFill="1" applyBorder="1" applyAlignment="1">
      <alignment vertical="center" wrapText="1"/>
    </xf>
  </cellXfs>
  <cellStyles count="2">
    <cellStyle name="Normal" xfId="0" builtinId="0"/>
    <cellStyle name="Normal 2" xfId="1" xr:uid="{966FAA5C-3BD4-4F7E-8415-6002D2E602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G7" sqref="G7"/>
    </sheetView>
  </sheetViews>
  <sheetFormatPr defaultRowHeight="14.5" x14ac:dyDescent="0.35"/>
  <cols>
    <col min="2" max="2" width="11.26953125" bestFit="1" customWidth="1"/>
    <col min="4" max="4" width="12.90625" bestFit="1" customWidth="1"/>
    <col min="5" max="5" width="15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</v>
      </c>
      <c r="D2">
        <v>1</v>
      </c>
      <c r="E2" t="s">
        <v>7</v>
      </c>
    </row>
    <row r="3" spans="1:5" x14ac:dyDescent="0.35">
      <c r="A3" t="s">
        <v>8</v>
      </c>
      <c r="B3" t="s">
        <v>6</v>
      </c>
      <c r="C3">
        <v>1</v>
      </c>
      <c r="D3">
        <v>1</v>
      </c>
      <c r="E3" t="s">
        <v>7</v>
      </c>
    </row>
    <row r="4" spans="1:5" x14ac:dyDescent="0.35">
      <c r="A4" t="s">
        <v>8</v>
      </c>
      <c r="B4" t="s">
        <v>6</v>
      </c>
      <c r="C4">
        <v>1</v>
      </c>
      <c r="D4">
        <v>1</v>
      </c>
      <c r="E4" t="s">
        <v>7</v>
      </c>
    </row>
    <row r="5" spans="1:5" x14ac:dyDescent="0.35">
      <c r="A5" t="s">
        <v>8</v>
      </c>
      <c r="B5" t="s">
        <v>6</v>
      </c>
      <c r="C5">
        <v>1</v>
      </c>
      <c r="D5">
        <v>1</v>
      </c>
      <c r="E5" t="s">
        <v>7</v>
      </c>
    </row>
    <row r="6" spans="1:5" x14ac:dyDescent="0.35">
      <c r="A6" t="s">
        <v>5</v>
      </c>
      <c r="B6" t="s">
        <v>6</v>
      </c>
      <c r="C6">
        <v>1</v>
      </c>
      <c r="D6">
        <v>1</v>
      </c>
      <c r="E6" t="s">
        <v>7</v>
      </c>
    </row>
    <row r="7" spans="1:5" x14ac:dyDescent="0.35">
      <c r="A7" t="s">
        <v>8</v>
      </c>
      <c r="B7" t="s">
        <v>6</v>
      </c>
      <c r="C7">
        <v>1</v>
      </c>
      <c r="D7">
        <v>1</v>
      </c>
      <c r="E7" t="s">
        <v>7</v>
      </c>
    </row>
    <row r="8" spans="1:5" x14ac:dyDescent="0.35">
      <c r="A8" t="s">
        <v>8</v>
      </c>
      <c r="B8" t="s">
        <v>6</v>
      </c>
      <c r="C8">
        <v>1</v>
      </c>
      <c r="D8">
        <v>1</v>
      </c>
      <c r="E8" t="s">
        <v>7</v>
      </c>
    </row>
    <row r="9" spans="1:5" x14ac:dyDescent="0.35">
      <c r="A9" t="s">
        <v>8</v>
      </c>
      <c r="B9" t="s">
        <v>6</v>
      </c>
      <c r="C9">
        <v>1</v>
      </c>
      <c r="D9">
        <v>1</v>
      </c>
      <c r="E9" t="s">
        <v>7</v>
      </c>
    </row>
    <row r="10" spans="1:5" x14ac:dyDescent="0.35">
      <c r="A10" t="s">
        <v>5</v>
      </c>
      <c r="B10" t="s">
        <v>6</v>
      </c>
      <c r="C10">
        <v>1</v>
      </c>
      <c r="D10">
        <v>1</v>
      </c>
      <c r="E10" t="s">
        <v>7</v>
      </c>
    </row>
    <row r="11" spans="1:5" x14ac:dyDescent="0.35">
      <c r="A11" t="s">
        <v>8</v>
      </c>
      <c r="B11" t="s">
        <v>6</v>
      </c>
      <c r="C11">
        <v>1</v>
      </c>
      <c r="D11">
        <v>1</v>
      </c>
      <c r="E11" t="s">
        <v>7</v>
      </c>
    </row>
    <row r="12" spans="1:5" x14ac:dyDescent="0.35">
      <c r="A12" t="s">
        <v>8</v>
      </c>
      <c r="B12" t="s">
        <v>6</v>
      </c>
      <c r="C12">
        <v>1</v>
      </c>
      <c r="D12">
        <v>1</v>
      </c>
      <c r="E12" t="s">
        <v>7</v>
      </c>
    </row>
    <row r="13" spans="1:5" x14ac:dyDescent="0.35">
      <c r="A13" t="s">
        <v>8</v>
      </c>
      <c r="B13" t="s">
        <v>6</v>
      </c>
      <c r="C13">
        <v>1</v>
      </c>
      <c r="D13">
        <v>1</v>
      </c>
      <c r="E13" t="s">
        <v>7</v>
      </c>
    </row>
    <row r="14" spans="1:5" x14ac:dyDescent="0.35">
      <c r="A14" t="s">
        <v>5</v>
      </c>
      <c r="B14" t="s">
        <v>6</v>
      </c>
      <c r="C14">
        <v>1</v>
      </c>
      <c r="D14">
        <v>1</v>
      </c>
      <c r="E14" t="s">
        <v>7</v>
      </c>
    </row>
    <row r="15" spans="1:5" x14ac:dyDescent="0.35">
      <c r="A15" t="s">
        <v>8</v>
      </c>
      <c r="B15" t="s">
        <v>6</v>
      </c>
      <c r="C15">
        <v>1</v>
      </c>
      <c r="D15">
        <v>1</v>
      </c>
      <c r="E15" t="s">
        <v>7</v>
      </c>
    </row>
    <row r="16" spans="1:5" x14ac:dyDescent="0.35">
      <c r="A16" t="s">
        <v>8</v>
      </c>
      <c r="B16" t="s">
        <v>6</v>
      </c>
      <c r="C16">
        <v>1</v>
      </c>
      <c r="D16">
        <v>1</v>
      </c>
      <c r="E16" t="s">
        <v>7</v>
      </c>
    </row>
    <row r="17" spans="1:5" x14ac:dyDescent="0.35">
      <c r="A17" t="s">
        <v>8</v>
      </c>
      <c r="B17" t="s">
        <v>6</v>
      </c>
      <c r="C17">
        <v>1</v>
      </c>
      <c r="D17">
        <v>1</v>
      </c>
      <c r="E17" t="s">
        <v>7</v>
      </c>
    </row>
    <row r="18" spans="1:5" x14ac:dyDescent="0.35">
      <c r="A18" t="s">
        <v>5</v>
      </c>
      <c r="B18" t="s">
        <v>6</v>
      </c>
      <c r="C18">
        <v>1</v>
      </c>
      <c r="D18">
        <v>1</v>
      </c>
      <c r="E18" t="s">
        <v>7</v>
      </c>
    </row>
    <row r="19" spans="1:5" x14ac:dyDescent="0.35">
      <c r="A19" t="s">
        <v>8</v>
      </c>
      <c r="B19" t="s">
        <v>6</v>
      </c>
      <c r="C19">
        <v>1</v>
      </c>
      <c r="D19">
        <v>1</v>
      </c>
      <c r="E19" t="s">
        <v>7</v>
      </c>
    </row>
    <row r="20" spans="1:5" x14ac:dyDescent="0.35">
      <c r="A20" t="s">
        <v>8</v>
      </c>
      <c r="B20" t="s">
        <v>6</v>
      </c>
      <c r="C20">
        <v>1</v>
      </c>
      <c r="D20">
        <v>1</v>
      </c>
      <c r="E20" t="s">
        <v>7</v>
      </c>
    </row>
    <row r="21" spans="1:5" x14ac:dyDescent="0.35">
      <c r="A21" t="s">
        <v>8</v>
      </c>
      <c r="B21" t="s">
        <v>6</v>
      </c>
      <c r="C21">
        <v>1</v>
      </c>
      <c r="D21">
        <v>1</v>
      </c>
      <c r="E21" t="s">
        <v>7</v>
      </c>
    </row>
    <row r="25" spans="1:5" x14ac:dyDescent="0.35">
      <c r="A2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7C2C-EA07-4552-B693-82D531724D72}">
  <dimension ref="A1:E31"/>
  <sheetViews>
    <sheetView workbookViewId="0">
      <selection activeCell="F38" sqref="F38"/>
    </sheetView>
  </sheetViews>
  <sheetFormatPr defaultRowHeight="14.5" x14ac:dyDescent="0.35"/>
  <cols>
    <col min="1" max="1" width="34.453125" bestFit="1" customWidth="1"/>
    <col min="2" max="2" width="11.26953125" bestFit="1" customWidth="1"/>
  </cols>
  <sheetData>
    <row r="1" spans="1:5" x14ac:dyDescent="0.35">
      <c r="A1" t="s">
        <v>14</v>
      </c>
    </row>
    <row r="2" spans="1:5" x14ac:dyDescent="0.35">
      <c r="A2" t="s">
        <v>15</v>
      </c>
    </row>
    <row r="6" spans="1:5" x14ac:dyDescent="0.35">
      <c r="A6" s="1" t="s">
        <v>10</v>
      </c>
      <c r="B6" s="1" t="s">
        <v>18</v>
      </c>
      <c r="C6" s="1" t="s">
        <v>11</v>
      </c>
      <c r="D6" s="1" t="s">
        <v>12</v>
      </c>
      <c r="E6" s="1" t="s">
        <v>13</v>
      </c>
    </row>
    <row r="7" spans="1:5" x14ac:dyDescent="0.35">
      <c r="A7" t="s">
        <v>5</v>
      </c>
      <c r="B7" t="s">
        <v>6</v>
      </c>
      <c r="C7">
        <v>1</v>
      </c>
      <c r="D7">
        <v>1</v>
      </c>
      <c r="E7" t="s">
        <v>7</v>
      </c>
    </row>
    <row r="8" spans="1:5" x14ac:dyDescent="0.35">
      <c r="A8" t="s">
        <v>8</v>
      </c>
      <c r="B8" t="s">
        <v>6</v>
      </c>
      <c r="C8">
        <v>1</v>
      </c>
      <c r="D8">
        <v>1</v>
      </c>
      <c r="E8" t="s">
        <v>7</v>
      </c>
    </row>
    <row r="9" spans="1:5" x14ac:dyDescent="0.35">
      <c r="A9" t="s">
        <v>8</v>
      </c>
      <c r="B9" t="s">
        <v>6</v>
      </c>
      <c r="C9">
        <v>1</v>
      </c>
      <c r="D9">
        <v>1</v>
      </c>
      <c r="E9" t="s">
        <v>7</v>
      </c>
    </row>
    <row r="10" spans="1:5" x14ac:dyDescent="0.35">
      <c r="A10" t="s">
        <v>8</v>
      </c>
      <c r="B10" t="s">
        <v>6</v>
      </c>
      <c r="C10">
        <v>1</v>
      </c>
      <c r="D10">
        <v>1</v>
      </c>
      <c r="E10" t="s">
        <v>7</v>
      </c>
    </row>
    <row r="11" spans="1:5" x14ac:dyDescent="0.35">
      <c r="A11" t="s">
        <v>5</v>
      </c>
      <c r="B11" t="s">
        <v>6</v>
      </c>
      <c r="C11">
        <v>1</v>
      </c>
      <c r="D11">
        <v>1</v>
      </c>
      <c r="E11" t="s">
        <v>7</v>
      </c>
    </row>
    <row r="12" spans="1:5" x14ac:dyDescent="0.35">
      <c r="A12" t="s">
        <v>8</v>
      </c>
      <c r="B12" t="s">
        <v>6</v>
      </c>
      <c r="C12">
        <v>1</v>
      </c>
      <c r="D12">
        <v>1</v>
      </c>
      <c r="E12" t="s">
        <v>7</v>
      </c>
    </row>
    <row r="13" spans="1:5" x14ac:dyDescent="0.35">
      <c r="A13" t="s">
        <v>8</v>
      </c>
      <c r="B13" t="s">
        <v>6</v>
      </c>
      <c r="C13">
        <v>1</v>
      </c>
      <c r="D13">
        <v>1</v>
      </c>
      <c r="E13" t="s">
        <v>7</v>
      </c>
    </row>
    <row r="14" spans="1:5" x14ac:dyDescent="0.35">
      <c r="A14" t="s">
        <v>8</v>
      </c>
      <c r="B14" t="s">
        <v>6</v>
      </c>
      <c r="C14">
        <v>1</v>
      </c>
      <c r="D14">
        <v>1</v>
      </c>
      <c r="E14" t="s">
        <v>7</v>
      </c>
    </row>
    <row r="15" spans="1:5" x14ac:dyDescent="0.35">
      <c r="A15" t="s">
        <v>5</v>
      </c>
      <c r="B15" t="s">
        <v>6</v>
      </c>
      <c r="C15">
        <v>1</v>
      </c>
      <c r="D15">
        <v>1</v>
      </c>
      <c r="E15" t="s">
        <v>7</v>
      </c>
    </row>
    <row r="16" spans="1:5" x14ac:dyDescent="0.35">
      <c r="A16" t="s">
        <v>8</v>
      </c>
      <c r="B16" t="s">
        <v>6</v>
      </c>
      <c r="C16">
        <v>1</v>
      </c>
      <c r="D16">
        <v>1</v>
      </c>
      <c r="E16" t="s">
        <v>7</v>
      </c>
    </row>
    <row r="17" spans="1:5" x14ac:dyDescent="0.35">
      <c r="A17" t="s">
        <v>8</v>
      </c>
      <c r="B17" t="s">
        <v>6</v>
      </c>
      <c r="C17">
        <v>1</v>
      </c>
      <c r="D17">
        <v>1</v>
      </c>
      <c r="E17" t="s">
        <v>7</v>
      </c>
    </row>
    <row r="18" spans="1:5" x14ac:dyDescent="0.35">
      <c r="A18" t="s">
        <v>8</v>
      </c>
      <c r="B18" t="s">
        <v>6</v>
      </c>
      <c r="C18">
        <v>1</v>
      </c>
      <c r="D18">
        <v>1</v>
      </c>
      <c r="E18" t="s">
        <v>7</v>
      </c>
    </row>
    <row r="19" spans="1:5" x14ac:dyDescent="0.35">
      <c r="A19" t="s">
        <v>5</v>
      </c>
      <c r="B19" t="s">
        <v>6</v>
      </c>
      <c r="C19">
        <v>1</v>
      </c>
      <c r="D19">
        <v>1</v>
      </c>
      <c r="E19" t="s">
        <v>7</v>
      </c>
    </row>
    <row r="20" spans="1:5" x14ac:dyDescent="0.35">
      <c r="A20" t="s">
        <v>8</v>
      </c>
      <c r="B20" t="s">
        <v>6</v>
      </c>
      <c r="C20">
        <v>1</v>
      </c>
      <c r="D20">
        <v>1</v>
      </c>
      <c r="E20" t="s">
        <v>7</v>
      </c>
    </row>
    <row r="21" spans="1:5" x14ac:dyDescent="0.35">
      <c r="A21" t="s">
        <v>8</v>
      </c>
      <c r="B21" t="s">
        <v>6</v>
      </c>
      <c r="C21">
        <v>1</v>
      </c>
      <c r="D21">
        <v>1</v>
      </c>
      <c r="E21" t="s">
        <v>7</v>
      </c>
    </row>
    <row r="22" spans="1:5" x14ac:dyDescent="0.35">
      <c r="A22" t="s">
        <v>8</v>
      </c>
      <c r="B22" t="s">
        <v>6</v>
      </c>
      <c r="C22">
        <v>1</v>
      </c>
      <c r="D22">
        <v>1</v>
      </c>
      <c r="E22" t="s">
        <v>7</v>
      </c>
    </row>
    <row r="23" spans="1:5" x14ac:dyDescent="0.35">
      <c r="A23" t="s">
        <v>5</v>
      </c>
      <c r="B23" t="s">
        <v>6</v>
      </c>
      <c r="C23">
        <v>1</v>
      </c>
      <c r="D23">
        <v>1</v>
      </c>
      <c r="E23" t="s">
        <v>7</v>
      </c>
    </row>
    <row r="24" spans="1:5" x14ac:dyDescent="0.35">
      <c r="A24" t="s">
        <v>8</v>
      </c>
      <c r="B24" t="s">
        <v>6</v>
      </c>
      <c r="C24">
        <v>1</v>
      </c>
      <c r="D24">
        <v>1</v>
      </c>
      <c r="E24" t="s">
        <v>7</v>
      </c>
    </row>
    <row r="25" spans="1:5" x14ac:dyDescent="0.35">
      <c r="A25" t="s">
        <v>8</v>
      </c>
      <c r="B25" t="s">
        <v>6</v>
      </c>
      <c r="C25">
        <v>1</v>
      </c>
      <c r="D25">
        <v>1</v>
      </c>
      <c r="E25" t="s">
        <v>7</v>
      </c>
    </row>
    <row r="26" spans="1:5" x14ac:dyDescent="0.35">
      <c r="A26" t="s">
        <v>8</v>
      </c>
      <c r="B26" t="s">
        <v>6</v>
      </c>
      <c r="C26">
        <v>1</v>
      </c>
      <c r="D26">
        <v>1</v>
      </c>
      <c r="E26" t="s">
        <v>7</v>
      </c>
    </row>
    <row r="30" spans="1:5" x14ac:dyDescent="0.35">
      <c r="A30" t="s">
        <v>16</v>
      </c>
    </row>
    <row r="31" spans="1:5" x14ac:dyDescent="0.35">
      <c r="A3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8C71-486A-4004-85FD-60629437BD59}">
  <dimension ref="A1:M56"/>
  <sheetViews>
    <sheetView tabSelected="1" workbookViewId="0">
      <selection activeCell="M1" sqref="M1"/>
    </sheetView>
  </sheetViews>
  <sheetFormatPr defaultRowHeight="14.5" x14ac:dyDescent="0.35"/>
  <cols>
    <col min="1" max="1" width="39.1796875" style="2" customWidth="1"/>
    <col min="2" max="2" width="36.7265625" style="2" customWidth="1"/>
    <col min="3" max="3" width="19.7265625" style="2" bestFit="1" customWidth="1"/>
    <col min="4" max="4" width="48.6328125" style="2" customWidth="1"/>
    <col min="5" max="5" width="5.7265625" style="2" bestFit="1" customWidth="1"/>
    <col min="6" max="6" width="11.7265625" style="2" bestFit="1" customWidth="1"/>
    <col min="7" max="7" width="8.7265625" style="2"/>
    <col min="8" max="8" width="6.81640625" style="2" bestFit="1" customWidth="1"/>
    <col min="9" max="10" width="6.36328125" style="2" bestFit="1" customWidth="1"/>
    <col min="11" max="11" width="8.7265625" style="2"/>
    <col min="12" max="12" width="11.7265625" style="2" bestFit="1" customWidth="1"/>
    <col min="13" max="16384" width="8.7265625" style="2"/>
  </cols>
  <sheetData>
    <row r="1" spans="1:13" ht="15" thickBot="1" x14ac:dyDescent="0.4">
      <c r="A1" s="2">
        <f>ROUND(C8/D8, 2)</f>
        <v>77.19</v>
      </c>
    </row>
    <row r="2" spans="1:13" ht="16" thickBot="1" x14ac:dyDescent="0.4">
      <c r="A2" s="23" t="s">
        <v>49</v>
      </c>
      <c r="B2" s="22" t="s">
        <v>32</v>
      </c>
      <c r="C2" s="22" t="s">
        <v>31</v>
      </c>
      <c r="D2" s="22" t="s">
        <v>30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</row>
    <row r="3" spans="1:13" ht="16" thickBot="1" x14ac:dyDescent="0.4">
      <c r="A3" s="6" t="s">
        <v>76</v>
      </c>
      <c r="B3" s="12">
        <v>117</v>
      </c>
      <c r="C3" s="5">
        <v>585000</v>
      </c>
      <c r="D3" s="5">
        <v>7579</v>
      </c>
      <c r="E3" s="12">
        <v>150</v>
      </c>
      <c r="F3" s="5">
        <f>G3*$A$1</f>
        <v>752602.5</v>
      </c>
      <c r="G3" s="5">
        <f>E3*I3</f>
        <v>9750</v>
      </c>
      <c r="H3" s="2">
        <f>E3*I3</f>
        <v>9750</v>
      </c>
      <c r="I3" s="2">
        <f>ROUND(D3/B3, 0)</f>
        <v>65</v>
      </c>
    </row>
    <row r="4" spans="1:13" ht="16" thickBot="1" x14ac:dyDescent="0.4">
      <c r="A4" s="6" t="s">
        <v>75</v>
      </c>
      <c r="B4" s="12">
        <v>416</v>
      </c>
      <c r="C4" s="5">
        <v>2080000</v>
      </c>
      <c r="D4" s="5">
        <v>26946</v>
      </c>
      <c r="E4" s="12">
        <v>600</v>
      </c>
      <c r="F4" s="5">
        <f>G4*$A$1</f>
        <v>3010410</v>
      </c>
      <c r="G4" s="5">
        <f>E4*I4</f>
        <v>39000</v>
      </c>
      <c r="H4" s="2">
        <f>E4*I4</f>
        <v>39000</v>
      </c>
      <c r="I4" s="2">
        <f>ROUND(D4/B4, 0)</f>
        <v>65</v>
      </c>
    </row>
    <row r="5" spans="1:13" ht="16" thickBot="1" x14ac:dyDescent="0.4">
      <c r="A5" s="6" t="s">
        <v>74</v>
      </c>
      <c r="B5" s="12">
        <v>884</v>
      </c>
      <c r="C5" s="5">
        <v>4420000</v>
      </c>
      <c r="D5" s="5">
        <v>57261</v>
      </c>
      <c r="E5" s="12">
        <v>1630</v>
      </c>
      <c r="F5" s="5">
        <f>G5*$A$1</f>
        <v>8178280.5</v>
      </c>
      <c r="G5" s="5">
        <f>E5*I5</f>
        <v>105950</v>
      </c>
      <c r="H5" s="2">
        <f>E5*I5</f>
        <v>105950</v>
      </c>
      <c r="I5" s="2">
        <f>ROUND(D5/B5, 0)</f>
        <v>65</v>
      </c>
    </row>
    <row r="6" spans="1:13" ht="16" thickBot="1" x14ac:dyDescent="0.4">
      <c r="A6" s="6" t="s">
        <v>73</v>
      </c>
      <c r="B6" s="12">
        <v>845</v>
      </c>
      <c r="C6" s="5">
        <v>4225000</v>
      </c>
      <c r="D6" s="5">
        <v>54735</v>
      </c>
      <c r="E6" s="12">
        <v>1600</v>
      </c>
      <c r="F6" s="5">
        <f>G6*$A$1</f>
        <v>8027760</v>
      </c>
      <c r="G6" s="5">
        <f>E6*I6</f>
        <v>104000</v>
      </c>
      <c r="H6" s="2">
        <f>E6*I6</f>
        <v>104000</v>
      </c>
      <c r="I6" s="2">
        <f>ROUND(D6/B6, 0)</f>
        <v>65</v>
      </c>
    </row>
    <row r="7" spans="1:13" ht="16" thickBot="1" x14ac:dyDescent="0.4">
      <c r="A7" s="6" t="s">
        <v>72</v>
      </c>
      <c r="B7" s="12">
        <v>143</v>
      </c>
      <c r="C7" s="5">
        <v>715000</v>
      </c>
      <c r="D7" s="5">
        <v>9263</v>
      </c>
      <c r="E7" s="12">
        <v>170</v>
      </c>
      <c r="F7" s="5">
        <f>G7*$A$1</f>
        <v>852949.5</v>
      </c>
      <c r="G7" s="5">
        <f>E7*I7</f>
        <v>11050</v>
      </c>
      <c r="H7" s="2">
        <f>E7*I7</f>
        <v>11050</v>
      </c>
      <c r="I7" s="2">
        <f>ROUND(D7/B7, 0)</f>
        <v>65</v>
      </c>
    </row>
    <row r="8" spans="1:13" ht="16" thickBot="1" x14ac:dyDescent="0.4">
      <c r="A8" s="25" t="s">
        <v>25</v>
      </c>
      <c r="B8" s="24">
        <f>SUM(B3:B7)</f>
        <v>2405</v>
      </c>
      <c r="C8" s="19">
        <f>SUM(C3:C7)</f>
        <v>12025000</v>
      </c>
      <c r="D8" s="19">
        <f>SUM(D3:D7)</f>
        <v>155784</v>
      </c>
      <c r="E8" s="24">
        <f>SUM(E3:E7)</f>
        <v>4150</v>
      </c>
      <c r="F8" s="19">
        <f>E8*I8*A1</f>
        <v>20822002.5</v>
      </c>
      <c r="G8" s="19">
        <f>SUM(G3:G7)</f>
        <v>269750</v>
      </c>
      <c r="H8" s="2">
        <f>SUM(H3:H7)</f>
        <v>269750</v>
      </c>
      <c r="I8" s="2">
        <f>ROUND(D8/B8, 0)</f>
        <v>65</v>
      </c>
      <c r="K8" s="2">
        <v>4320</v>
      </c>
      <c r="L8" s="2">
        <f>M8*A1</f>
        <v>21674952</v>
      </c>
      <c r="M8" s="2">
        <f>K8*I8</f>
        <v>280800</v>
      </c>
    </row>
    <row r="14" spans="1:13" ht="15" thickBot="1" x14ac:dyDescent="0.4"/>
    <row r="15" spans="1:13" ht="16" thickBot="1" x14ac:dyDescent="0.4">
      <c r="A15" s="23" t="s">
        <v>71</v>
      </c>
      <c r="B15" s="22" t="s">
        <v>70</v>
      </c>
      <c r="C15" s="22" t="s">
        <v>69</v>
      </c>
      <c r="D15" s="22" t="s">
        <v>68</v>
      </c>
      <c r="E15" s="2" t="s">
        <v>77</v>
      </c>
      <c r="F15" s="2" t="s">
        <v>46</v>
      </c>
      <c r="G15" s="2" t="s">
        <v>44</v>
      </c>
      <c r="H15" s="2" t="s">
        <v>42</v>
      </c>
      <c r="I15" s="2" t="s">
        <v>40</v>
      </c>
      <c r="J15" s="2" t="s">
        <v>37</v>
      </c>
      <c r="K15" s="2" t="s">
        <v>67</v>
      </c>
      <c r="L15" s="2" t="s">
        <v>66</v>
      </c>
    </row>
    <row r="16" spans="1:13" ht="16" thickBot="1" x14ac:dyDescent="0.4">
      <c r="A16" s="6" t="s">
        <v>65</v>
      </c>
      <c r="B16" s="12" t="s">
        <v>51</v>
      </c>
      <c r="C16" s="21">
        <v>1</v>
      </c>
      <c r="D16" s="12" t="s">
        <v>64</v>
      </c>
      <c r="E16" s="2">
        <v>1</v>
      </c>
      <c r="F16" s="2">
        <f>$C$27*40*$C16</f>
        <v>40</v>
      </c>
      <c r="G16" s="2">
        <f>$C$28*40*$C16</f>
        <v>160</v>
      </c>
      <c r="H16" s="2">
        <f>$C$29*40*$C16</f>
        <v>240</v>
      </c>
      <c r="I16" s="2">
        <f>$C$30*40*$C16</f>
        <v>240</v>
      </c>
      <c r="J16" s="2">
        <f>$C$31*40*$C16</f>
        <v>40</v>
      </c>
      <c r="K16" s="5">
        <f>SUM(F16:J16)*65</f>
        <v>46800</v>
      </c>
      <c r="L16" s="5">
        <f>K16*$A$1</f>
        <v>3612492</v>
      </c>
    </row>
    <row r="17" spans="1:12" ht="16" thickBot="1" x14ac:dyDescent="0.4">
      <c r="A17" s="6" t="s">
        <v>63</v>
      </c>
      <c r="B17" s="12" t="s">
        <v>51</v>
      </c>
      <c r="C17" s="21">
        <v>1</v>
      </c>
      <c r="D17" s="12" t="s">
        <v>62</v>
      </c>
      <c r="E17" s="2">
        <v>1</v>
      </c>
      <c r="F17" s="2">
        <v>20</v>
      </c>
      <c r="G17" s="2">
        <v>80</v>
      </c>
      <c r="H17" s="2">
        <f>$C$29*40*$C17</f>
        <v>240</v>
      </c>
      <c r="I17" s="2">
        <f>$C$30*40*$C17</f>
        <v>240</v>
      </c>
      <c r="J17" s="2">
        <f>$C$31*40*$C17</f>
        <v>40</v>
      </c>
      <c r="K17" s="5">
        <f>SUM(F17:J17)*65</f>
        <v>40300</v>
      </c>
      <c r="L17" s="5">
        <f>K17*$A$1</f>
        <v>3110757</v>
      </c>
    </row>
    <row r="18" spans="1:12" ht="16" thickBot="1" x14ac:dyDescent="0.4">
      <c r="A18" s="6" t="s">
        <v>61</v>
      </c>
      <c r="B18" s="12" t="s">
        <v>51</v>
      </c>
      <c r="C18" s="21">
        <v>1</v>
      </c>
      <c r="D18" s="12" t="s">
        <v>60</v>
      </c>
      <c r="E18" s="2">
        <v>1</v>
      </c>
      <c r="F18" s="2">
        <v>20</v>
      </c>
      <c r="G18" s="2">
        <v>80</v>
      </c>
      <c r="H18" s="2">
        <f>$C$29*40*$C18</f>
        <v>240</v>
      </c>
      <c r="I18" s="2">
        <f>$C$30*40*$C18</f>
        <v>240</v>
      </c>
      <c r="J18" s="2">
        <f>$C$31*40*$C18</f>
        <v>40</v>
      </c>
      <c r="K18" s="5">
        <f>SUM(F18:J18)*65</f>
        <v>40300</v>
      </c>
      <c r="L18" s="5">
        <f>K18*$A$1</f>
        <v>3110757</v>
      </c>
    </row>
    <row r="19" spans="1:12" ht="16" thickBot="1" x14ac:dyDescent="0.4">
      <c r="A19" s="6" t="s">
        <v>59</v>
      </c>
      <c r="B19" s="12" t="s">
        <v>51</v>
      </c>
      <c r="C19" s="21">
        <v>0.8</v>
      </c>
      <c r="D19" s="12" t="s">
        <v>58</v>
      </c>
      <c r="E19" s="2">
        <v>1</v>
      </c>
      <c r="F19" s="2">
        <v>24</v>
      </c>
      <c r="G19" s="2">
        <v>80</v>
      </c>
      <c r="H19" s="2">
        <v>240</v>
      </c>
      <c r="I19" s="2">
        <v>240</v>
      </c>
      <c r="J19" s="2">
        <v>26</v>
      </c>
      <c r="K19" s="5">
        <f>SUM(F19:J19)*65</f>
        <v>39650</v>
      </c>
      <c r="L19" s="5">
        <f>K19*$A$1</f>
        <v>3060583.5</v>
      </c>
    </row>
    <row r="20" spans="1:12" ht="16" thickBot="1" x14ac:dyDescent="0.4">
      <c r="A20" s="6" t="s">
        <v>57</v>
      </c>
      <c r="B20" s="12" t="s">
        <v>54</v>
      </c>
      <c r="C20" s="21">
        <v>0.8</v>
      </c>
      <c r="D20" s="12" t="s">
        <v>56</v>
      </c>
      <c r="E20" s="2">
        <v>1</v>
      </c>
      <c r="F20" s="2">
        <v>24</v>
      </c>
      <c r="G20" s="2">
        <v>80</v>
      </c>
      <c r="H20" s="2">
        <v>240</v>
      </c>
      <c r="I20" s="2">
        <v>200</v>
      </c>
      <c r="J20" s="2">
        <v>8</v>
      </c>
      <c r="K20" s="5">
        <f>SUM(F20:J20)*65</f>
        <v>35880</v>
      </c>
      <c r="L20" s="5">
        <f>K20*$A$1</f>
        <v>2769577.1999999997</v>
      </c>
    </row>
    <row r="21" spans="1:12" ht="16" thickBot="1" x14ac:dyDescent="0.4">
      <c r="A21" s="6" t="s">
        <v>55</v>
      </c>
      <c r="B21" s="12" t="s">
        <v>54</v>
      </c>
      <c r="C21" s="21">
        <v>0.8</v>
      </c>
      <c r="D21" s="12" t="s">
        <v>53</v>
      </c>
      <c r="E21" s="2">
        <v>1</v>
      </c>
      <c r="F21" s="2">
        <v>12</v>
      </c>
      <c r="G21" s="2">
        <v>80</v>
      </c>
      <c r="H21" s="2">
        <v>240</v>
      </c>
      <c r="I21" s="2">
        <v>200</v>
      </c>
      <c r="J21" s="2">
        <v>8</v>
      </c>
      <c r="K21" s="5">
        <f>SUM(F21:J21)*65</f>
        <v>35100</v>
      </c>
      <c r="L21" s="5">
        <f>K21*$A$1</f>
        <v>2709369</v>
      </c>
    </row>
    <row r="22" spans="1:12" ht="16" thickBot="1" x14ac:dyDescent="0.4">
      <c r="A22" s="6" t="s">
        <v>52</v>
      </c>
      <c r="B22" s="12" t="s">
        <v>51</v>
      </c>
      <c r="C22" s="21">
        <v>0.6</v>
      </c>
      <c r="D22" s="12" t="s">
        <v>50</v>
      </c>
      <c r="E22" s="2">
        <v>1</v>
      </c>
      <c r="F22" s="2">
        <v>10</v>
      </c>
      <c r="G22" s="2">
        <v>40</v>
      </c>
      <c r="H22" s="2">
        <v>190</v>
      </c>
      <c r="I22" s="2">
        <v>240</v>
      </c>
      <c r="J22" s="2">
        <v>8</v>
      </c>
      <c r="K22" s="5">
        <f>SUM(F22:J22)*65</f>
        <v>31720</v>
      </c>
      <c r="L22" s="5">
        <f>K22*$A$1</f>
        <v>2448466.7999999998</v>
      </c>
    </row>
    <row r="23" spans="1:12" ht="16" thickBot="1" x14ac:dyDescent="0.4">
      <c r="F23" s="20">
        <f>SUM(F16:F22)</f>
        <v>150</v>
      </c>
      <c r="G23" s="20">
        <f>SUM(G16:G22)</f>
        <v>600</v>
      </c>
      <c r="H23" s="20">
        <f>SUM(H16:H22)</f>
        <v>1630</v>
      </c>
      <c r="I23" s="20">
        <f>SUM(I16:I22)</f>
        <v>1600</v>
      </c>
      <c r="J23" s="20">
        <f>SUM(J16:J22)</f>
        <v>170</v>
      </c>
      <c r="K23" s="19">
        <f>SUM(F23:J23)*65</f>
        <v>269750</v>
      </c>
      <c r="L23" s="19">
        <f>K23*$A$1</f>
        <v>20822002.5</v>
      </c>
    </row>
    <row r="25" spans="1:12" ht="15" thickBot="1" x14ac:dyDescent="0.4">
      <c r="F25" s="18"/>
      <c r="G25" s="18"/>
      <c r="H25" s="18"/>
      <c r="I25" s="18"/>
      <c r="J25" s="18"/>
    </row>
    <row r="26" spans="1:12" ht="16" thickBot="1" x14ac:dyDescent="0.4">
      <c r="A26" s="8" t="s">
        <v>49</v>
      </c>
      <c r="B26" s="17" t="s">
        <v>18</v>
      </c>
      <c r="C26" s="17" t="s">
        <v>48</v>
      </c>
      <c r="D26" s="17" t="s">
        <v>47</v>
      </c>
    </row>
    <row r="27" spans="1:12" ht="16" thickBot="1" x14ac:dyDescent="0.4">
      <c r="A27" s="6" t="s">
        <v>46</v>
      </c>
      <c r="B27" s="15" t="s">
        <v>45</v>
      </c>
      <c r="C27" s="16">
        <v>1</v>
      </c>
      <c r="D27" s="15" t="s">
        <v>38</v>
      </c>
    </row>
    <row r="28" spans="1:12" ht="16" thickBot="1" x14ac:dyDescent="0.4">
      <c r="A28" s="6" t="s">
        <v>44</v>
      </c>
      <c r="B28" s="15" t="s">
        <v>43</v>
      </c>
      <c r="C28" s="16">
        <v>4</v>
      </c>
      <c r="D28" s="15" t="s">
        <v>35</v>
      </c>
    </row>
    <row r="29" spans="1:12" ht="16" thickBot="1" x14ac:dyDescent="0.4">
      <c r="A29" s="6" t="s">
        <v>42</v>
      </c>
      <c r="B29" s="15" t="s">
        <v>41</v>
      </c>
      <c r="C29" s="16">
        <v>6</v>
      </c>
      <c r="D29" s="15" t="s">
        <v>38</v>
      </c>
    </row>
    <row r="30" spans="1:12" ht="16" thickBot="1" x14ac:dyDescent="0.4">
      <c r="A30" s="6" t="s">
        <v>40</v>
      </c>
      <c r="B30" s="15" t="s">
        <v>39</v>
      </c>
      <c r="C30" s="16">
        <v>6</v>
      </c>
      <c r="D30" s="15" t="s">
        <v>38</v>
      </c>
    </row>
    <row r="31" spans="1:12" ht="16" thickBot="1" x14ac:dyDescent="0.4">
      <c r="A31" s="6" t="s">
        <v>37</v>
      </c>
      <c r="B31" s="15" t="s">
        <v>36</v>
      </c>
      <c r="C31" s="16">
        <v>1</v>
      </c>
      <c r="D31" s="15" t="s">
        <v>35</v>
      </c>
    </row>
    <row r="40" spans="1:4" ht="18" x14ac:dyDescent="0.35">
      <c r="A40" s="14" t="s">
        <v>34</v>
      </c>
    </row>
    <row r="41" spans="1:4" ht="15" thickBot="1" x14ac:dyDescent="0.4">
      <c r="A41" s="13"/>
    </row>
    <row r="42" spans="1:4" ht="16" thickBot="1" x14ac:dyDescent="0.4">
      <c r="A42" s="8" t="s">
        <v>33</v>
      </c>
      <c r="B42" s="7" t="s">
        <v>32</v>
      </c>
      <c r="C42" s="7" t="s">
        <v>31</v>
      </c>
      <c r="D42" s="7" t="s">
        <v>30</v>
      </c>
    </row>
    <row r="43" spans="1:4" ht="16" thickBot="1" x14ac:dyDescent="0.4">
      <c r="A43" s="6" t="s">
        <v>29</v>
      </c>
      <c r="B43" s="12">
        <v>30</v>
      </c>
      <c r="C43" s="5">
        <f>D43*$A$1</f>
        <v>150520.5</v>
      </c>
      <c r="D43" s="12">
        <f>B43*65</f>
        <v>1950</v>
      </c>
    </row>
    <row r="44" spans="1:4" ht="31.5" thickBot="1" x14ac:dyDescent="0.4">
      <c r="A44" s="6" t="s">
        <v>28</v>
      </c>
      <c r="B44" s="12">
        <v>450</v>
      </c>
      <c r="C44" s="5">
        <f>D44*$A$1</f>
        <v>2257807.5</v>
      </c>
      <c r="D44" s="12">
        <f>B44*65</f>
        <v>29250</v>
      </c>
    </row>
    <row r="45" spans="1:4" ht="31.5" thickBot="1" x14ac:dyDescent="0.4">
      <c r="A45" s="6" t="s">
        <v>27</v>
      </c>
      <c r="B45" s="12">
        <v>450</v>
      </c>
      <c r="C45" s="5">
        <f>D45*$A$1</f>
        <v>2257807.5</v>
      </c>
      <c r="D45" s="12">
        <f>B45*65</f>
        <v>29250</v>
      </c>
    </row>
    <row r="46" spans="1:4" ht="16" thickBot="1" x14ac:dyDescent="0.4">
      <c r="A46" s="6" t="s">
        <v>26</v>
      </c>
      <c r="B46" s="12">
        <v>70</v>
      </c>
      <c r="C46" s="5">
        <f>D46*$A$1</f>
        <v>351214.5</v>
      </c>
      <c r="D46" s="12">
        <f>B46*65</f>
        <v>4550</v>
      </c>
    </row>
    <row r="47" spans="1:4" ht="16" thickBot="1" x14ac:dyDescent="0.4">
      <c r="A47" s="11" t="s">
        <v>25</v>
      </c>
      <c r="B47" s="9">
        <f>SUM(B43:B46)</f>
        <v>1000</v>
      </c>
      <c r="C47" s="10">
        <f>SUM(C43:C46)</f>
        <v>5017350</v>
      </c>
      <c r="D47" s="9">
        <f>SUM(D43:D46)</f>
        <v>65000</v>
      </c>
    </row>
    <row r="52" spans="1:3" ht="15" thickBot="1" x14ac:dyDescent="0.4"/>
    <row r="53" spans="1:3" ht="16" thickBot="1" x14ac:dyDescent="0.4">
      <c r="A53" s="8" t="s">
        <v>24</v>
      </c>
      <c r="B53" s="7" t="s">
        <v>23</v>
      </c>
      <c r="C53" s="7" t="s">
        <v>22</v>
      </c>
    </row>
    <row r="54" spans="1:3" ht="16" thickBot="1" x14ac:dyDescent="0.4">
      <c r="A54" s="6" t="s">
        <v>21</v>
      </c>
      <c r="B54" s="5">
        <f>F8</f>
        <v>20822002.5</v>
      </c>
      <c r="C54" s="5">
        <f>G8</f>
        <v>269750</v>
      </c>
    </row>
    <row r="55" spans="1:3" ht="16" thickBot="1" x14ac:dyDescent="0.4">
      <c r="A55" s="6" t="s">
        <v>20</v>
      </c>
      <c r="B55" s="5">
        <f>C47</f>
        <v>5017350</v>
      </c>
      <c r="C55" s="5">
        <f>D47</f>
        <v>65000</v>
      </c>
    </row>
    <row r="56" spans="1:3" ht="16" thickBot="1" x14ac:dyDescent="0.4">
      <c r="A56" s="4" t="s">
        <v>19</v>
      </c>
      <c r="B56" s="3">
        <f>SUM(B54:B55)</f>
        <v>25839352.5</v>
      </c>
      <c r="C56" s="3">
        <f>SUM(C54:C55)</f>
        <v>334750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and text</vt:lpstr>
      <vt:lpstr>Table surrounded with text</vt:lpstr>
      <vt:lpstr>Multitable and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Волков</cp:lastModifiedBy>
  <dcterms:created xsi:type="dcterms:W3CDTF">2024-11-20T11:57:43Z</dcterms:created>
  <dcterms:modified xsi:type="dcterms:W3CDTF">2026-02-19T07:34:19Z</dcterms:modified>
</cp:coreProperties>
</file>